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BSc Mechatronics\CourseRA\Excel\Course 3\Week 6\"/>
    </mc:Choice>
  </mc:AlternateContent>
  <xr:revisionPtr revIDLastSave="0" documentId="13_ncr:1_{9A41BCCA-9567-444D-8161-F8FFEA8548ED}" xr6:coauthVersionLast="47" xr6:coauthVersionMax="47" xr10:uidLastSave="{00000000-0000-0000-0000-000000000000}"/>
  <bookViews>
    <workbookView xWindow="-120" yWindow="-120" windowWidth="20730" windowHeight="11160" tabRatio="869" xr2:uid="{00000000-000D-0000-FFFF-FFFF00000000}"/>
  </bookViews>
  <sheets>
    <sheet name="Instructions " sheetId="14" r:id="rId1"/>
    <sheet name="Instruction" sheetId="1" state="hidden" r:id="rId2"/>
    <sheet name="Data Entry" sheetId="22" r:id="rId3"/>
    <sheet name="Table" sheetId="23" r:id="rId4"/>
    <sheet name="Invoice Template" sheetId="24" r:id="rId5"/>
    <sheet name="105" sheetId="25" r:id="rId6"/>
    <sheet name="106" sheetId="26" r:id="rId7"/>
  </sheets>
  <definedNames>
    <definedName name="Customer_Name">Table!$C$2:$C$8</definedName>
    <definedName name="Date">Table!$B$2:$B$8</definedName>
    <definedName name="Discount">Table!$G$2:$G$8</definedName>
    <definedName name="Fee_per_hour">Table!$E$2:$E$8</definedName>
    <definedName name="Hours_of_Service_Provided">Table!$D$2:$D$8</definedName>
    <definedName name="Invoice_Number">Table!$A$2:$A$8</definedName>
    <definedName name="Invoices" localSheetId="5">Table1[]</definedName>
    <definedName name="Invoices" localSheetId="6">Table1[]</definedName>
    <definedName name="Invoices">Table1[]</definedName>
    <definedName name="Total">Table!$F$2:$F$8</definedName>
    <definedName name="Total_Amount_Due">Table!$H$2:$H$8</definedName>
    <definedName name="Total_Revenue">Table!$J$2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8" i="23" l="1"/>
  <c r="G8" i="23"/>
  <c r="F7" i="23"/>
  <c r="G7" i="23"/>
  <c r="F6" i="23"/>
  <c r="G6" i="23" s="1"/>
  <c r="F5" i="23"/>
  <c r="F4" i="23"/>
  <c r="H8" i="23" l="1"/>
  <c r="H7" i="23"/>
  <c r="H6" i="23"/>
  <c r="G5" i="23"/>
  <c r="G4" i="23"/>
  <c r="H4" i="23" s="1"/>
  <c r="A3" i="23"/>
  <c r="G3" i="23"/>
  <c r="F2" i="23"/>
  <c r="G2" i="23" s="1"/>
  <c r="F3" i="23"/>
  <c r="A4" i="23" l="1"/>
  <c r="H5" i="23"/>
  <c r="H3" i="23"/>
  <c r="H2" i="23"/>
  <c r="A5" i="23" l="1"/>
  <c r="A7" i="24"/>
  <c r="J2" i="23"/>
  <c r="C15" i="26" l="1"/>
  <c r="B2" i="26"/>
  <c r="B7" i="26"/>
  <c r="A6" i="23"/>
  <c r="A7" i="23" s="1"/>
  <c r="A8" i="23" s="1"/>
  <c r="B2" i="24"/>
  <c r="B7" i="24"/>
  <c r="C15" i="24"/>
  <c r="C16" i="24"/>
  <c r="B4" i="24"/>
  <c r="C7" i="24"/>
  <c r="C14" i="24" s="1"/>
  <c r="B1" i="1"/>
  <c r="A7" i="26" l="1"/>
  <c r="C7" i="26"/>
  <c r="C14" i="26" s="1"/>
  <c r="C7" i="25"/>
  <c r="C14" i="25" s="1"/>
  <c r="C16" i="26"/>
  <c r="C16" i="25"/>
  <c r="A7" i="25"/>
  <c r="B7" i="25"/>
  <c r="C15" i="25"/>
  <c r="B2" i="25"/>
  <c r="B4" i="26"/>
  <c r="B4" i="25"/>
</calcChain>
</file>

<file path=xl/sharedStrings.xml><?xml version="1.0" encoding="utf-8"?>
<sst xmlns="http://schemas.openxmlformats.org/spreadsheetml/2006/main" count="93" uniqueCount="60">
  <si>
    <t>Student #</t>
  </si>
  <si>
    <t>Step 1:</t>
  </si>
  <si>
    <t xml:space="preserve">Enter your student number </t>
  </si>
  <si>
    <t>Have a look to Customer Database sheet</t>
  </si>
  <si>
    <t>Red sheets</t>
  </si>
  <si>
    <t>Complete and calculate the pink cells</t>
  </si>
  <si>
    <t>Step 2:</t>
  </si>
  <si>
    <t>Step 3:</t>
  </si>
  <si>
    <t xml:space="preserve">Read Yellow Cells Directions for </t>
  </si>
  <si>
    <t>Step 4:</t>
  </si>
  <si>
    <t>Well done! Don't forget to save your workbook.</t>
  </si>
  <si>
    <t>Scenario</t>
  </si>
  <si>
    <t>Practice Challenge</t>
  </si>
  <si>
    <t>Excel Skills for Business: Intermediate II</t>
  </si>
  <si>
    <t>Week 6: Macros</t>
  </si>
  <si>
    <t>Week 6: Learning Objectives</t>
  </si>
  <si>
    <t>Date</t>
  </si>
  <si>
    <t>Customer Name</t>
  </si>
  <si>
    <t>Radmehr Accounting Services</t>
  </si>
  <si>
    <t>Service Hours</t>
  </si>
  <si>
    <t>Rate per Hour</t>
  </si>
  <si>
    <t>Total</t>
  </si>
  <si>
    <t>Sami Pty Ltd</t>
  </si>
  <si>
    <t>Invoice Number:</t>
  </si>
  <si>
    <t>Invoice Date:</t>
  </si>
  <si>
    <t xml:space="preserve">Total </t>
  </si>
  <si>
    <t>Total amount due</t>
  </si>
  <si>
    <t>Customer:</t>
  </si>
  <si>
    <t>Hours of Service Provided</t>
  </si>
  <si>
    <t>Fee per hour</t>
  </si>
  <si>
    <t>Invoice Number</t>
  </si>
  <si>
    <t>Discount</t>
  </si>
  <si>
    <t>Total Amount Due</t>
  </si>
  <si>
    <t>Total Revenue</t>
  </si>
  <si>
    <t>Loil Pty Ltd</t>
  </si>
  <si>
    <t>King Pty Ltd</t>
  </si>
  <si>
    <t>Siroos Pty Ltd</t>
  </si>
  <si>
    <t>Behrooz Pty Ltd</t>
  </si>
  <si>
    <t>Data Entry</t>
  </si>
  <si>
    <t>You have been asked to organise Invoicing and data management in Radmehr Accounting Services business</t>
  </si>
  <si>
    <r>
      <t xml:space="preserve">* </t>
    </r>
    <r>
      <rPr>
        <b/>
        <sz val="11"/>
        <color theme="1"/>
        <rFont val="Calibri"/>
        <family val="2"/>
        <scheme val="minor"/>
      </rPr>
      <t>Invoice Template</t>
    </r>
    <r>
      <rPr>
        <sz val="11"/>
        <color theme="1"/>
        <rFont val="Calibri"/>
        <family val="2"/>
        <scheme val="minor"/>
      </rPr>
      <t xml:space="preserve"> sheet creates invoices for any selected invoice number</t>
    </r>
  </si>
  <si>
    <r>
      <t xml:space="preserve">* </t>
    </r>
    <r>
      <rPr>
        <b/>
        <sz val="11"/>
        <color theme="1"/>
        <rFont val="Calibri"/>
        <family val="2"/>
        <scheme val="minor"/>
      </rPr>
      <t>Table</t>
    </r>
    <r>
      <rPr>
        <sz val="11"/>
        <color theme="1"/>
        <rFont val="Calibri"/>
        <family val="2"/>
        <scheme val="minor"/>
      </rPr>
      <t xml:space="preserve"> sheet is the data base for invoices </t>
    </r>
  </si>
  <si>
    <r>
      <t xml:space="preserve">* </t>
    </r>
    <r>
      <rPr>
        <b/>
        <sz val="11"/>
        <color theme="1"/>
        <rFont val="Calibri"/>
        <family val="2"/>
        <scheme val="minor"/>
      </rPr>
      <t>Data Entry</t>
    </r>
    <r>
      <rPr>
        <sz val="11"/>
        <color theme="1"/>
        <rFont val="Calibri"/>
        <family val="2"/>
        <scheme val="minor"/>
      </rPr>
      <t xml:space="preserve"> sheet is for entering data for each customer</t>
    </r>
  </si>
  <si>
    <r>
      <t xml:space="preserve">You will need to complete the following tasks on the above mentioned sheets to update the </t>
    </r>
    <r>
      <rPr>
        <b/>
        <sz val="11"/>
        <color theme="1"/>
        <rFont val="Calibri"/>
        <family val="2"/>
        <scheme val="minor"/>
      </rPr>
      <t>Table</t>
    </r>
    <r>
      <rPr>
        <sz val="11"/>
        <color theme="1"/>
        <rFont val="Calibri"/>
        <family val="2"/>
        <scheme val="minor"/>
      </rPr>
      <t xml:space="preserve"> sheet and prepare the </t>
    </r>
    <r>
      <rPr>
        <b/>
        <sz val="11"/>
        <color theme="1"/>
        <rFont val="Calibri"/>
        <family val="2"/>
        <scheme val="minor"/>
      </rPr>
      <t>Invoice Template</t>
    </r>
    <r>
      <rPr>
        <sz val="11"/>
        <color theme="1"/>
        <rFont val="Calibri"/>
        <family val="2"/>
        <scheme val="minor"/>
      </rPr>
      <t xml:space="preserve"> sheet for the invoicing process</t>
    </r>
  </si>
  <si>
    <t>Less 5% Discount (For more than 10 hours service)</t>
  </si>
  <si>
    <r>
      <t xml:space="preserve">Provide required formulas for </t>
    </r>
    <r>
      <rPr>
        <b/>
        <sz val="11"/>
        <color theme="1"/>
        <rFont val="Calibri"/>
        <family val="2"/>
        <scheme val="minor"/>
      </rPr>
      <t>Total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1"/>
        <rFont val="Calibri"/>
        <family val="2"/>
        <scheme val="minor"/>
      </rPr>
      <t>Discount</t>
    </r>
    <r>
      <rPr>
        <sz val="11"/>
        <color theme="1"/>
        <rFont val="Calibri"/>
        <family val="2"/>
        <scheme val="minor"/>
      </rPr>
      <t xml:space="preserve"> (5% Discount for more than 10 hours service), </t>
    </r>
    <r>
      <rPr>
        <b/>
        <sz val="11"/>
        <color theme="1"/>
        <rFont val="Calibri"/>
        <family val="2"/>
        <scheme val="minor"/>
      </rPr>
      <t>Total Amount Due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Total Revenue</t>
    </r>
  </si>
  <si>
    <r>
      <t xml:space="preserve">Make sure before you stop recording the macro, you go back to the </t>
    </r>
    <r>
      <rPr>
        <b/>
        <sz val="11"/>
        <color theme="1"/>
        <rFont val="Calibri"/>
        <family val="2"/>
        <scheme val="minor"/>
      </rPr>
      <t>Data Entry</t>
    </r>
    <r>
      <rPr>
        <sz val="11"/>
        <color theme="1"/>
        <rFont val="Calibri"/>
        <family val="2"/>
        <scheme val="minor"/>
      </rPr>
      <t xml:space="preserve"> sheet, delete the current data and prepare it for the next entry</t>
    </r>
  </si>
  <si>
    <r>
      <t xml:space="preserve">Assign a button to the </t>
    </r>
    <r>
      <rPr>
        <b/>
        <sz val="11"/>
        <color theme="1"/>
        <rFont val="Calibri"/>
        <family val="2"/>
        <scheme val="minor"/>
      </rPr>
      <t>Transfer</t>
    </r>
    <r>
      <rPr>
        <sz val="11"/>
        <color theme="1"/>
        <rFont val="Calibri"/>
        <family val="2"/>
        <scheme val="minor"/>
      </rPr>
      <t xml:space="preserve"> macro in the </t>
    </r>
    <r>
      <rPr>
        <b/>
        <sz val="11"/>
        <color theme="1"/>
        <rFont val="Calibri"/>
        <family val="2"/>
        <scheme val="minor"/>
      </rPr>
      <t>Data Entry</t>
    </r>
    <r>
      <rPr>
        <sz val="11"/>
        <color theme="1"/>
        <rFont val="Calibri"/>
        <family val="2"/>
        <scheme val="minor"/>
      </rPr>
      <t xml:space="preserve"> sheet</t>
    </r>
  </si>
  <si>
    <r>
      <t xml:space="preserve">Create a new macro called </t>
    </r>
    <r>
      <rPr>
        <b/>
        <sz val="11"/>
        <color theme="1"/>
        <rFont val="Calibri"/>
        <family val="2"/>
        <scheme val="minor"/>
      </rPr>
      <t>Transfer</t>
    </r>
    <r>
      <rPr>
        <sz val="11"/>
        <color theme="1"/>
        <rFont val="Calibri"/>
        <family val="2"/>
        <scheme val="minor"/>
      </rPr>
      <t xml:space="preserve"> to transfer entered data from the </t>
    </r>
    <r>
      <rPr>
        <b/>
        <sz val="11"/>
        <color theme="1"/>
        <rFont val="Calibri"/>
        <family val="2"/>
        <scheme val="minor"/>
      </rPr>
      <t>Data Entry</t>
    </r>
    <r>
      <rPr>
        <sz val="11"/>
        <color theme="1"/>
        <rFont val="Calibri"/>
        <family val="2"/>
        <scheme val="minor"/>
      </rPr>
      <t xml:space="preserve"> sheet to the </t>
    </r>
    <r>
      <rPr>
        <b/>
        <sz val="11"/>
        <color theme="1"/>
        <rFont val="Calibri"/>
        <family val="2"/>
        <scheme val="minor"/>
      </rPr>
      <t>Table</t>
    </r>
    <r>
      <rPr>
        <sz val="11"/>
        <color theme="1"/>
        <rFont val="Calibri"/>
        <family val="2"/>
        <scheme val="minor"/>
      </rPr>
      <t xml:space="preserve"> sheet. (Hint: you will need to apply </t>
    </r>
    <r>
      <rPr>
        <b/>
        <sz val="11"/>
        <color theme="1"/>
        <rFont val="Calibri"/>
        <family val="2"/>
        <scheme val="minor"/>
      </rPr>
      <t>Use Relative References</t>
    </r>
    <r>
      <rPr>
        <sz val="11"/>
        <color theme="1"/>
        <rFont val="Calibri"/>
        <family val="2"/>
        <scheme val="minor"/>
      </rPr>
      <t xml:space="preserve"> in some parts of your macro)</t>
    </r>
  </si>
  <si>
    <r>
      <t xml:space="preserve">Create a new macro called </t>
    </r>
    <r>
      <rPr>
        <b/>
        <sz val="11"/>
        <color theme="1"/>
        <rFont val="Calibri"/>
        <family val="2"/>
        <scheme val="minor"/>
      </rPr>
      <t>Issue_Invoice</t>
    </r>
    <r>
      <rPr>
        <sz val="11"/>
        <color theme="1"/>
        <rFont val="Calibri"/>
        <family val="2"/>
        <scheme val="minor"/>
      </rPr>
      <t xml:space="preserve">, which should ask for an invoice number to issue an invoice, assign a button to the macro and place it in the </t>
    </r>
    <r>
      <rPr>
        <b/>
        <sz val="11"/>
        <color theme="1"/>
        <rFont val="Calibri"/>
        <family val="2"/>
        <scheme val="minor"/>
      </rPr>
      <t>Table</t>
    </r>
    <r>
      <rPr>
        <sz val="11"/>
        <color theme="1"/>
        <rFont val="Calibri"/>
        <family val="2"/>
        <scheme val="minor"/>
      </rPr>
      <t xml:space="preserve"> sheet</t>
    </r>
  </si>
  <si>
    <r>
      <t xml:space="preserve">Enter the following table in the </t>
    </r>
    <r>
      <rPr>
        <b/>
        <sz val="11"/>
        <color theme="1"/>
        <rFont val="Calibri"/>
        <family val="2"/>
        <scheme val="minor"/>
      </rPr>
      <t>Data Entry</t>
    </r>
    <r>
      <rPr>
        <sz val="11"/>
        <color theme="1"/>
        <rFont val="Calibri"/>
        <family val="2"/>
        <scheme val="minor"/>
      </rPr>
      <t xml:space="preserve"> sheet one by one and use your </t>
    </r>
    <r>
      <rPr>
        <b/>
        <sz val="11"/>
        <color theme="1"/>
        <rFont val="Calibri"/>
        <family val="2"/>
        <scheme val="minor"/>
      </rPr>
      <t>Transfer</t>
    </r>
    <r>
      <rPr>
        <sz val="11"/>
        <color theme="1"/>
        <rFont val="Calibri"/>
        <family val="2"/>
        <scheme val="minor"/>
      </rPr>
      <t xml:space="preserve"> macro to transfer them to the</t>
    </r>
    <r>
      <rPr>
        <b/>
        <sz val="11"/>
        <color theme="1"/>
        <rFont val="Calibri"/>
        <family val="2"/>
        <scheme val="minor"/>
      </rPr>
      <t xml:space="preserve"> Table</t>
    </r>
    <r>
      <rPr>
        <sz val="11"/>
        <color theme="1"/>
        <rFont val="Calibri"/>
        <family val="2"/>
        <scheme val="minor"/>
      </rPr>
      <t xml:space="preserve"> sheet</t>
    </r>
  </si>
  <si>
    <t>Issue invoices for the last 2 customers, make a copy of them and change the sheet name to the invoice number</t>
  </si>
  <si>
    <t>Make sure that you save your file properly to be able to have the macros active when you re-open them</t>
  </si>
  <si>
    <r>
      <t xml:space="preserve">Go to the </t>
    </r>
    <r>
      <rPr>
        <b/>
        <sz val="11"/>
        <color theme="1"/>
        <rFont val="Calibri"/>
        <family val="2"/>
        <scheme val="minor"/>
      </rPr>
      <t>Invoice Template</t>
    </r>
    <r>
      <rPr>
        <sz val="11"/>
        <color theme="1"/>
        <rFont val="Calibri"/>
        <family val="2"/>
        <scheme val="minor"/>
      </rPr>
      <t xml:space="preserve"> sheet and provide all needed formulas based on the </t>
    </r>
    <r>
      <rPr>
        <b/>
        <sz val="11"/>
        <color theme="1"/>
        <rFont val="Calibri"/>
        <family val="2"/>
        <scheme val="minor"/>
      </rPr>
      <t>Invoice Number</t>
    </r>
    <r>
      <rPr>
        <sz val="11"/>
        <color theme="1"/>
        <rFont val="Calibri"/>
        <family val="2"/>
        <scheme val="minor"/>
      </rPr>
      <t xml:space="preserve"> (Hint: use VLOOKUP when needed)</t>
    </r>
  </si>
  <si>
    <r>
      <t xml:space="preserve">More hints about the macro: you can use Ctrl+Home and Ctrl+down arrow to go to the next available row. </t>
    </r>
    <r>
      <rPr>
        <b/>
        <sz val="11"/>
        <color theme="1"/>
        <rFont val="Calibri"/>
        <family val="2"/>
        <scheme val="minor"/>
      </rPr>
      <t>Invoice number</t>
    </r>
    <r>
      <rPr>
        <sz val="11"/>
        <color theme="1"/>
        <rFont val="Calibri"/>
        <family val="2"/>
        <scheme val="minor"/>
      </rPr>
      <t xml:space="preserve"> should be based on the previous invoice number</t>
    </r>
  </si>
  <si>
    <t>Identify the Uses of Macros in Excel
Create Basic Macros to Automate Repetitive Tasks
Edit Macros to Extend their Functionality
Manage Macros Efficiently</t>
  </si>
  <si>
    <r>
      <t xml:space="preserve">Go to the </t>
    </r>
    <r>
      <rPr>
        <b/>
        <sz val="11"/>
        <color theme="1"/>
        <rFont val="Calibri"/>
        <family val="2"/>
        <scheme val="minor"/>
      </rPr>
      <t>Data Entry</t>
    </r>
    <r>
      <rPr>
        <sz val="11"/>
        <color theme="1"/>
        <rFont val="Calibri"/>
        <family val="2"/>
        <scheme val="minor"/>
      </rPr>
      <t xml:space="preserve"> sheet, enter </t>
    </r>
    <r>
      <rPr>
        <b/>
        <sz val="11"/>
        <color theme="1"/>
        <rFont val="Calibri"/>
        <family val="2"/>
        <scheme val="minor"/>
      </rPr>
      <t>Date</t>
    </r>
    <r>
      <rPr>
        <sz val="11"/>
        <color theme="1"/>
        <rFont val="Calibri"/>
        <family val="2"/>
        <scheme val="minor"/>
      </rPr>
      <t xml:space="preserve">: 2016-08-04, </t>
    </r>
    <r>
      <rPr>
        <b/>
        <sz val="11"/>
        <color theme="1"/>
        <rFont val="Calibri"/>
        <family val="2"/>
        <scheme val="minor"/>
      </rPr>
      <t>Customer Name</t>
    </r>
    <r>
      <rPr>
        <sz val="11"/>
        <color theme="1"/>
        <rFont val="Calibri"/>
        <family val="2"/>
        <scheme val="minor"/>
      </rPr>
      <t xml:space="preserve">: Rod Ltd, </t>
    </r>
    <r>
      <rPr>
        <b/>
        <sz val="11"/>
        <color theme="1"/>
        <rFont val="Calibri"/>
        <family val="2"/>
        <scheme val="minor"/>
      </rPr>
      <t>Hours of service provided</t>
    </r>
    <r>
      <rPr>
        <sz val="11"/>
        <color theme="1"/>
        <rFont val="Calibri"/>
        <family val="2"/>
        <scheme val="minor"/>
      </rPr>
      <t xml:space="preserve">: 22, and </t>
    </r>
    <r>
      <rPr>
        <b/>
        <sz val="11"/>
        <color theme="1"/>
        <rFont val="Calibri"/>
        <family val="2"/>
        <scheme val="minor"/>
      </rPr>
      <t>Fee</t>
    </r>
    <r>
      <rPr>
        <sz val="11"/>
        <color theme="1"/>
        <rFont val="Calibri"/>
        <family val="2"/>
        <scheme val="minor"/>
      </rPr>
      <t>: $50</t>
    </r>
  </si>
  <si>
    <r>
      <t xml:space="preserve">Go to the </t>
    </r>
    <r>
      <rPr>
        <b/>
        <sz val="11"/>
        <color theme="1"/>
        <rFont val="Calibri"/>
        <family val="2"/>
        <scheme val="minor"/>
      </rPr>
      <t>Table</t>
    </r>
    <r>
      <rPr>
        <sz val="11"/>
        <color theme="1"/>
        <rFont val="Calibri"/>
        <family val="2"/>
        <scheme val="minor"/>
      </rPr>
      <t xml:space="preserve"> sheet, convert it to a table and use Named Ranges on the columns</t>
    </r>
  </si>
  <si>
    <t>Rod Ltd</t>
  </si>
  <si>
    <t>Customer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</si>
</sst>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$&quot;* #,##0.00_-;\-&quot;$&quot;* #,##0.00_-;_-&quot;$&quot;* &quot;-&quot;??_-;_-@_-"/>
  </numFmts>
  <fonts count="2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5"/>
      <color theme="3"/>
      <name val="National Book"/>
      <family val="3"/>
    </font>
    <font>
      <sz val="11"/>
      <color theme="1"/>
      <name val="Newzald Book"/>
      <family val="3"/>
    </font>
    <font>
      <b/>
      <sz val="14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8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28"/>
      <color theme="1"/>
      <name val="Arial"/>
      <family val="2"/>
    </font>
    <font>
      <sz val="24"/>
      <color theme="1"/>
      <name val="Arial"/>
      <family val="2"/>
    </font>
    <font>
      <b/>
      <i/>
      <sz val="24"/>
      <color theme="1"/>
      <name val="Calibri Light"/>
      <family val="2"/>
    </font>
    <font>
      <sz val="12"/>
      <color theme="1"/>
      <name val="Calibri"/>
      <family val="2"/>
      <scheme val="minor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11"/>
      <color theme="1"/>
      <name val="Arial"/>
      <family val="2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7">
    <xf numFmtId="0" fontId="0" fillId="0" borderId="0"/>
    <xf numFmtId="164" fontId="4" fillId="0" borderId="0" applyFont="0" applyFill="0" applyBorder="0" applyAlignment="0" applyProtection="0"/>
    <xf numFmtId="0" fontId="4" fillId="0" borderId="0"/>
    <xf numFmtId="0" fontId="6" fillId="0" borderId="0"/>
    <xf numFmtId="0" fontId="8" fillId="0" borderId="7" applyNumberFormat="0" applyFill="0" applyAlignment="0" applyProtection="0"/>
    <xf numFmtId="0" fontId="5" fillId="0" borderId="0" applyNumberFormat="0" applyFill="0" applyBorder="0" applyAlignment="0" applyProtection="0"/>
    <xf numFmtId="0" fontId="9" fillId="0" borderId="0">
      <alignment vertical="top" wrapText="1"/>
    </xf>
  </cellStyleXfs>
  <cellXfs count="64">
    <xf numFmtId="0" fontId="0" fillId="0" borderId="0" xfId="0"/>
    <xf numFmtId="0" fontId="2" fillId="2" borderId="0" xfId="0" applyFont="1" applyFill="1" applyProtection="1">
      <protection locked="0"/>
    </xf>
    <xf numFmtId="0" fontId="0" fillId="0" borderId="0" xfId="0" applyProtection="1">
      <protection locked="0"/>
    </xf>
    <xf numFmtId="0" fontId="3" fillId="0" borderId="0" xfId="0" applyFont="1" applyProtection="1">
      <protection locked="0"/>
    </xf>
    <xf numFmtId="0" fontId="0" fillId="2" borderId="0" xfId="0" applyFill="1" applyProtection="1">
      <protection locked="0"/>
    </xf>
    <xf numFmtId="0" fontId="0" fillId="4" borderId="0" xfId="0" applyFill="1" applyProtection="1">
      <protection locked="0"/>
    </xf>
    <xf numFmtId="0" fontId="0" fillId="3" borderId="0" xfId="0" applyFill="1" applyProtection="1">
      <protection locked="0"/>
    </xf>
    <xf numFmtId="0" fontId="1" fillId="0" borderId="0" xfId="0" applyFont="1"/>
    <xf numFmtId="0" fontId="10" fillId="0" borderId="0" xfId="0" applyFont="1"/>
    <xf numFmtId="0" fontId="0" fillId="0" borderId="10" xfId="0" applyBorder="1"/>
    <xf numFmtId="0" fontId="0" fillId="0" borderId="4" xfId="0" applyBorder="1"/>
    <xf numFmtId="164" fontId="0" fillId="0" borderId="1" xfId="1" applyFont="1" applyBorder="1"/>
    <xf numFmtId="0" fontId="11" fillId="5" borderId="2" xfId="0" applyFont="1" applyFill="1" applyBorder="1"/>
    <xf numFmtId="0" fontId="13" fillId="5" borderId="1" xfId="0" applyFont="1" applyFill="1" applyBorder="1"/>
    <xf numFmtId="14" fontId="14" fillId="0" borderId="1" xfId="0" applyNumberFormat="1" applyFont="1" applyBorder="1"/>
    <xf numFmtId="0" fontId="14" fillId="0" borderId="0" xfId="0" applyFont="1"/>
    <xf numFmtId="164" fontId="0" fillId="0" borderId="0" xfId="1" applyFont="1"/>
    <xf numFmtId="0" fontId="11" fillId="5" borderId="13" xfId="0" applyFont="1" applyFill="1" applyBorder="1"/>
    <xf numFmtId="0" fontId="13" fillId="5" borderId="2" xfId="0" applyFont="1" applyFill="1" applyBorder="1"/>
    <xf numFmtId="0" fontId="12" fillId="5" borderId="2" xfId="0" applyFont="1" applyFill="1" applyBorder="1"/>
    <xf numFmtId="0" fontId="13" fillId="5" borderId="10" xfId="0" applyFont="1" applyFill="1" applyBorder="1"/>
    <xf numFmtId="0" fontId="13" fillId="5" borderId="12" xfId="0" applyFont="1" applyFill="1" applyBorder="1"/>
    <xf numFmtId="0" fontId="13" fillId="0" borderId="10" xfId="0" applyFont="1" applyFill="1" applyBorder="1"/>
    <xf numFmtId="0" fontId="13" fillId="4" borderId="10" xfId="0" applyFont="1" applyFill="1" applyBorder="1"/>
    <xf numFmtId="0" fontId="15" fillId="0" borderId="13" xfId="0" applyFont="1" applyBorder="1"/>
    <xf numFmtId="14" fontId="15" fillId="0" borderId="2" xfId="0" applyNumberFormat="1" applyFont="1" applyBorder="1"/>
    <xf numFmtId="0" fontId="15" fillId="0" borderId="2" xfId="0" applyFont="1" applyBorder="1"/>
    <xf numFmtId="164" fontId="15" fillId="0" borderId="2" xfId="1" applyFont="1" applyBorder="1"/>
    <xf numFmtId="164" fontId="15" fillId="0" borderId="11" xfId="1" applyFont="1" applyBorder="1"/>
    <xf numFmtId="164" fontId="15" fillId="0" borderId="12" xfId="1" applyFont="1" applyBorder="1"/>
    <xf numFmtId="14" fontId="0" fillId="0" borderId="0" xfId="0" applyNumberFormat="1"/>
    <xf numFmtId="164" fontId="0" fillId="0" borderId="10" xfId="1" applyFont="1" applyBorder="1"/>
    <xf numFmtId="164" fontId="16" fillId="0" borderId="1" xfId="1" applyFont="1" applyBorder="1"/>
    <xf numFmtId="0" fontId="18" fillId="0" borderId="0" xfId="2" applyFont="1"/>
    <xf numFmtId="0" fontId="18" fillId="0" borderId="3" xfId="2" applyFont="1" applyBorder="1"/>
    <xf numFmtId="0" fontId="22" fillId="0" borderId="0" xfId="3" applyFont="1"/>
    <xf numFmtId="0" fontId="18" fillId="0" borderId="0" xfId="0" applyFont="1"/>
    <xf numFmtId="0" fontId="23" fillId="0" borderId="0" xfId="4" applyFont="1" applyBorder="1"/>
    <xf numFmtId="0" fontId="24" fillId="0" borderId="8" xfId="2" applyFont="1" applyBorder="1"/>
    <xf numFmtId="0" fontId="25" fillId="0" borderId="0" xfId="2" applyFont="1"/>
    <xf numFmtId="0" fontId="18" fillId="0" borderId="0" xfId="0" applyFont="1" applyAlignment="1">
      <alignment wrapText="1"/>
    </xf>
    <xf numFmtId="0" fontId="18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 indent="5"/>
    </xf>
    <xf numFmtId="0" fontId="26" fillId="5" borderId="2" xfId="0" applyFont="1" applyFill="1" applyBorder="1"/>
    <xf numFmtId="14" fontId="18" fillId="0" borderId="2" xfId="0" applyNumberFormat="1" applyFont="1" applyBorder="1"/>
    <xf numFmtId="0" fontId="18" fillId="0" borderId="1" xfId="0" applyFont="1" applyBorder="1"/>
    <xf numFmtId="0" fontId="18" fillId="0" borderId="1" xfId="1" applyNumberFormat="1" applyFont="1" applyBorder="1"/>
    <xf numFmtId="164" fontId="18" fillId="0" borderId="1" xfId="1" applyFont="1" applyBorder="1"/>
    <xf numFmtId="14" fontId="18" fillId="0" borderId="1" xfId="0" applyNumberFormat="1" applyFont="1" applyBorder="1"/>
    <xf numFmtId="0" fontId="18" fillId="0" borderId="0" xfId="0" applyFont="1" applyAlignment="1">
      <alignment vertical="center"/>
    </xf>
    <xf numFmtId="164" fontId="15" fillId="0" borderId="2" xfId="1" applyNumberFormat="1" applyFont="1" applyBorder="1"/>
    <xf numFmtId="164" fontId="15" fillId="0" borderId="11" xfId="1" applyNumberFormat="1" applyFont="1" applyBorder="1"/>
    <xf numFmtId="0" fontId="0" fillId="0" borderId="0" xfId="0" applyFont="1" applyAlignment="1">
      <alignment horizontal="left" vertical="center"/>
    </xf>
    <xf numFmtId="0" fontId="19" fillId="0" borderId="3" xfId="2" applyFont="1" applyBorder="1" applyAlignment="1">
      <alignment horizontal="center"/>
    </xf>
    <xf numFmtId="0" fontId="19" fillId="0" borderId="0" xfId="2" applyFont="1" applyAlignment="1">
      <alignment horizontal="center"/>
    </xf>
    <xf numFmtId="0" fontId="20" fillId="0" borderId="3" xfId="2" applyFont="1" applyBorder="1" applyAlignment="1">
      <alignment horizontal="center"/>
    </xf>
    <xf numFmtId="0" fontId="20" fillId="0" borderId="0" xfId="2" applyFont="1" applyAlignment="1">
      <alignment horizontal="center"/>
    </xf>
    <xf numFmtId="0" fontId="21" fillId="6" borderId="5" xfId="5" applyFont="1" applyFill="1" applyBorder="1" applyAlignment="1">
      <alignment horizontal="center"/>
    </xf>
    <xf numFmtId="0" fontId="21" fillId="6" borderId="9" xfId="5" applyFont="1" applyFill="1" applyBorder="1" applyAlignment="1">
      <alignment horizontal="center"/>
    </xf>
    <xf numFmtId="0" fontId="21" fillId="6" borderId="6" xfId="5" applyFont="1" applyFill="1" applyBorder="1" applyAlignment="1">
      <alignment horizontal="center"/>
    </xf>
    <xf numFmtId="0" fontId="18" fillId="0" borderId="0" xfId="0" applyFont="1" applyAlignment="1">
      <alignment vertical="top" wrapText="1"/>
    </xf>
    <xf numFmtId="0" fontId="17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7" fillId="0" borderId="1" xfId="0" applyFont="1" applyBorder="1" applyAlignment="1">
      <alignment horizontal="center"/>
    </xf>
  </cellXfs>
  <cellStyles count="7">
    <cellStyle name="Currency" xfId="1" builtinId="4"/>
    <cellStyle name="MQ Body" xfId="6" xr:uid="{00000000-0005-0000-0000-000001000000}"/>
    <cellStyle name="MQ Heading 1" xfId="4" xr:uid="{00000000-0005-0000-0000-000002000000}"/>
    <cellStyle name="Normal" xfId="0" builtinId="0"/>
    <cellStyle name="Normal 2 2" xfId="2" xr:uid="{00000000-0005-0000-0000-000004000000}"/>
    <cellStyle name="Normal 4" xfId="3" xr:uid="{00000000-0005-0000-0000-000005000000}"/>
    <cellStyle name="Title 2" xfId="5" xr:uid="{00000000-0005-0000-0000-000006000000}"/>
  </cellStyles>
  <dxfs count="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-&quot;$&quot;* #,##0.00_-;\-&quot;$&quot;* #,##0.00_-;_-&quot;$&quot;* &quot;-&quot;??_-;_-@_-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-&quot;$&quot;* #,##0.00_-;\-&quot;$&quot;* #,##0.00_-;_-&quot;$&quot;* &quot;-&quot;??_-;_-@_-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-&quot;$&quot;* #,##0.00_-;\-&quot;$&quot;* #,##0.00_-;_-&quot;$&quot;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-&quot;$&quot;* #,##0.00_-;\-&quot;$&quot;* #,##0.00_-;_-&quot;$&quot;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-&quot;$&quot;* #,##0.00_-;\-&quot;$&quot;* #,##0.00_-;_-&quot;$&quot;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-&quot;$&quot;* #,##0.00_-;\-&quot;$&quot;* #,##0.00_-;_-&quot;$&quot;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9" formatCode="m/d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9" formatCode="m/d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CC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</xdr:col>
      <xdr:colOff>650563</xdr:colOff>
      <xdr:row>5</xdr:row>
      <xdr:rowOff>261455</xdr:rowOff>
    </xdr:to>
    <xdr:pic>
      <xdr:nvPicPr>
        <xdr:cNvPr id="2" name="Picture 1" title="Macquarie University 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7086"/>
        <a:stretch/>
      </xdr:blipFill>
      <xdr:spPr>
        <a:xfrm>
          <a:off x="0" y="0"/>
          <a:ext cx="4850030" cy="16499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390525</xdr:colOff>
          <xdr:row>5</xdr:row>
          <xdr:rowOff>123826</xdr:rowOff>
        </xdr:from>
        <xdr:to>
          <xdr:col>6</xdr:col>
          <xdr:colOff>590550</xdr:colOff>
          <xdr:row>6</xdr:row>
          <xdr:rowOff>238126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 Entry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361950</xdr:colOff>
          <xdr:row>3</xdr:row>
          <xdr:rowOff>66675</xdr:rowOff>
        </xdr:from>
        <xdr:to>
          <xdr:col>9</xdr:col>
          <xdr:colOff>1057275</xdr:colOff>
          <xdr:row>6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Invoice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DE83039-2C1D-444A-ABF8-96CC5D86FF9C}" name="Table1" displayName="Table1" ref="A1:H8" totalsRowShown="0" headerRowDxfId="17" dataDxfId="16" dataCellStyle="Currency">
  <autoFilter ref="A1:H8" xr:uid="{F9F7DF0A-DB36-4A18-A2F7-58BA835436F4}"/>
  <tableColumns count="8">
    <tableColumn id="1" xr3:uid="{E26FB24A-D51B-40AC-BA05-67B4EB470490}" name="Invoice Number" dataDxfId="15" totalsRowDxfId="14"/>
    <tableColumn id="2" xr3:uid="{3EA3832E-7E33-4851-8398-3CC954A6E436}" name="Date" dataDxfId="13" totalsRowDxfId="12"/>
    <tableColumn id="3" xr3:uid="{3FDF42A8-27D8-47E5-BDB4-89CBC449806F}" name="Customer" dataDxfId="11" totalsRowDxfId="10"/>
    <tableColumn id="4" xr3:uid="{856E706C-2C2B-41B7-A966-53CC6B91E656}" name="Hours of Service Provided" dataDxfId="9" totalsRowDxfId="8"/>
    <tableColumn id="5" xr3:uid="{14D31A12-219F-4DEB-A011-0735F3A64E81}" name="Fee per hour" dataDxfId="7" totalsRowDxfId="6" dataCellStyle="Currency" totalsRowCellStyle="Currency"/>
    <tableColumn id="6" xr3:uid="{DD528F8B-B545-4E11-855D-12390C39719C}" name="Total" dataDxfId="5" totalsRowDxfId="4" dataCellStyle="Currency" totalsRowCellStyle="Currency">
      <calculatedColumnFormula>Table1[[#This Row],[Hours of Service Provided]]*Table1[[#This Row],[Fee per hour]]</calculatedColumnFormula>
    </tableColumn>
    <tableColumn id="7" xr3:uid="{0A27BB73-D7B7-4B3E-BEE7-510CA6607672}" name="Discount" dataDxfId="3" totalsRowDxfId="2" dataCellStyle="Currency" totalsRowCellStyle="Currency">
      <calculatedColumnFormula>IF(Table1[[#This Row],[Hours of Service Provided]]&gt;10,5%*Table1[[#This Row],[Total]],0)</calculatedColumnFormula>
    </tableColumn>
    <tableColumn id="8" xr3:uid="{16812952-D55E-4488-AD39-E2C735531ACF}" name="Total Amount Due" dataDxfId="1" totalsRowDxfId="0" dataCellStyle="Currency" totalsRowCellStyle="Currency">
      <calculatedColumnFormula>Table1[[#This Row],[Total]]-Table1[[#This Row],[Discount]]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56"/>
  <sheetViews>
    <sheetView tabSelected="1" topLeftCell="A3" zoomScaleNormal="100" workbookViewId="0">
      <selection activeCell="I43" sqref="I43"/>
    </sheetView>
  </sheetViews>
  <sheetFormatPr defaultColWidth="9.85546875" defaultRowHeight="15"/>
  <cols>
    <col min="1" max="1" width="9.85546875" style="33"/>
    <col min="2" max="2" width="12.140625" style="33" customWidth="1"/>
    <col min="3" max="3" width="15.42578125" style="33" bestFit="1" customWidth="1"/>
    <col min="4" max="4" width="23.7109375" style="33" customWidth="1"/>
    <col min="5" max="5" width="12.7109375" style="33" customWidth="1"/>
    <col min="6" max="7" width="9.85546875" style="33"/>
    <col min="8" max="11" width="12.28515625" style="33" customWidth="1"/>
    <col min="12" max="12" width="39.5703125" style="33" customWidth="1"/>
    <col min="13" max="15" width="12.28515625" style="33" customWidth="1"/>
    <col min="16" max="16384" width="9.85546875" style="33"/>
  </cols>
  <sheetData>
    <row r="1" spans="1:15">
      <c r="G1" s="34"/>
    </row>
    <row r="2" spans="1:15" ht="34.5">
      <c r="G2" s="53" t="s">
        <v>13</v>
      </c>
      <c r="H2" s="54"/>
      <c r="I2" s="54"/>
      <c r="J2" s="54"/>
      <c r="K2" s="54"/>
      <c r="L2" s="54"/>
      <c r="M2" s="54"/>
      <c r="N2" s="54"/>
      <c r="O2" s="54"/>
    </row>
    <row r="3" spans="1:15">
      <c r="G3" s="34"/>
    </row>
    <row r="4" spans="1:15" ht="30">
      <c r="G4" s="55" t="s">
        <v>14</v>
      </c>
      <c r="H4" s="56"/>
      <c r="I4" s="56"/>
      <c r="J4" s="56"/>
      <c r="K4" s="56"/>
      <c r="L4" s="56"/>
      <c r="M4" s="56"/>
      <c r="N4" s="56"/>
      <c r="O4" s="56"/>
    </row>
    <row r="5" spans="1:15" ht="15.75" thickBot="1">
      <c r="G5" s="34"/>
    </row>
    <row r="6" spans="1:15" ht="32.25" thickBot="1">
      <c r="G6" s="34"/>
      <c r="H6" s="57" t="s">
        <v>12</v>
      </c>
      <c r="I6" s="58"/>
      <c r="J6" s="58"/>
      <c r="K6" s="58"/>
      <c r="L6" s="58"/>
      <c r="M6" s="58"/>
      <c r="N6" s="59"/>
      <c r="O6" s="35"/>
    </row>
    <row r="7" spans="1:15" s="36" customFormat="1"/>
    <row r="8" spans="1:15" s="36" customFormat="1"/>
    <row r="9" spans="1:15" s="36" customFormat="1"/>
    <row r="10" spans="1:15" ht="18.75" thickBot="1">
      <c r="A10" s="37" t="s">
        <v>15</v>
      </c>
      <c r="B10" s="37"/>
      <c r="C10" s="37"/>
      <c r="D10" s="37"/>
      <c r="E10" s="37"/>
      <c r="F10" s="37"/>
      <c r="G10" s="35"/>
      <c r="H10" s="36"/>
      <c r="I10" s="36"/>
      <c r="J10" s="36"/>
      <c r="K10" s="36"/>
      <c r="L10" s="36"/>
      <c r="M10" s="36"/>
      <c r="N10" s="36"/>
      <c r="O10" s="36"/>
    </row>
    <row r="11" spans="1:15" ht="12.6" customHeight="1" thickTop="1">
      <c r="A11" s="38"/>
      <c r="B11" s="38"/>
      <c r="C11" s="38"/>
      <c r="D11" s="38"/>
      <c r="E11" s="38"/>
      <c r="F11" s="38"/>
      <c r="G11" s="38"/>
      <c r="H11" s="36"/>
      <c r="I11" s="36"/>
      <c r="J11" s="36"/>
      <c r="K11" s="36"/>
      <c r="L11" s="36"/>
      <c r="M11" s="36"/>
      <c r="N11" s="36"/>
      <c r="O11" s="36"/>
    </row>
    <row r="12" spans="1:15" ht="63.6" customHeight="1">
      <c r="A12" s="60" t="s">
        <v>55</v>
      </c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  <c r="N12" s="60"/>
    </row>
    <row r="13" spans="1:15" s="36" customFormat="1" ht="9" customHeight="1"/>
    <row r="14" spans="1:15" s="36" customFormat="1" ht="5.45" customHeight="1"/>
    <row r="15" spans="1:15" ht="18.75" thickBot="1">
      <c r="A15" s="37" t="s">
        <v>11</v>
      </c>
      <c r="B15" s="37"/>
      <c r="C15" s="37"/>
      <c r="D15" s="37"/>
      <c r="E15" s="37"/>
      <c r="F15" s="37"/>
      <c r="G15" s="35"/>
      <c r="H15" s="39"/>
      <c r="L15" s="40"/>
    </row>
    <row r="16" spans="1:15" ht="10.5" customHeight="1" thickTop="1">
      <c r="A16" s="38"/>
      <c r="B16" s="38"/>
      <c r="C16" s="38"/>
      <c r="D16" s="38"/>
      <c r="E16" s="38"/>
      <c r="F16" s="38"/>
      <c r="G16" s="38"/>
      <c r="H16" s="39"/>
    </row>
    <row r="17" spans="1:2" s="36" customFormat="1">
      <c r="A17" s="36" t="s">
        <v>39</v>
      </c>
    </row>
    <row r="18" spans="1:2" s="36" customFormat="1"/>
    <row r="19" spans="1:2" s="36" customFormat="1">
      <c r="A19" s="36" t="s">
        <v>42</v>
      </c>
    </row>
    <row r="20" spans="1:2" s="36" customFormat="1">
      <c r="A20" s="33" t="s">
        <v>41</v>
      </c>
    </row>
    <row r="21" spans="1:2" s="36" customFormat="1">
      <c r="A21" s="36" t="s">
        <v>40</v>
      </c>
    </row>
    <row r="22" spans="1:2" s="36" customFormat="1"/>
    <row r="23" spans="1:2" s="36" customFormat="1"/>
    <row r="24" spans="1:2" s="36" customFormat="1">
      <c r="A24" s="36" t="s">
        <v>43</v>
      </c>
    </row>
    <row r="25" spans="1:2" s="36" customFormat="1"/>
    <row r="26" spans="1:2">
      <c r="A26" s="33">
        <v>1</v>
      </c>
      <c r="B26" s="41" t="s">
        <v>57</v>
      </c>
    </row>
    <row r="27" spans="1:2">
      <c r="A27" s="33">
        <v>2</v>
      </c>
      <c r="B27" s="41" t="s">
        <v>45</v>
      </c>
    </row>
    <row r="28" spans="1:2">
      <c r="A28" s="33">
        <v>3</v>
      </c>
      <c r="B28" s="52" t="s">
        <v>56</v>
      </c>
    </row>
    <row r="29" spans="1:2">
      <c r="A29" s="33">
        <v>4</v>
      </c>
      <c r="B29" s="41" t="s">
        <v>48</v>
      </c>
    </row>
    <row r="30" spans="1:2">
      <c r="A30" s="33">
        <v>5</v>
      </c>
      <c r="B30" s="41" t="s">
        <v>54</v>
      </c>
    </row>
    <row r="31" spans="1:2">
      <c r="A31" s="33">
        <v>6</v>
      </c>
      <c r="B31" s="41" t="s">
        <v>46</v>
      </c>
    </row>
    <row r="32" spans="1:2">
      <c r="A32" s="33">
        <v>7</v>
      </c>
      <c r="B32" s="41" t="s">
        <v>47</v>
      </c>
    </row>
    <row r="33" spans="1:5">
      <c r="A33" s="33">
        <v>8</v>
      </c>
      <c r="B33" s="41" t="s">
        <v>53</v>
      </c>
    </row>
    <row r="34" spans="1:5">
      <c r="A34" s="33">
        <v>9</v>
      </c>
      <c r="B34" s="41" t="s">
        <v>49</v>
      </c>
    </row>
    <row r="35" spans="1:5">
      <c r="A35" s="33">
        <v>10</v>
      </c>
      <c r="B35" s="41" t="s">
        <v>50</v>
      </c>
    </row>
    <row r="36" spans="1:5">
      <c r="A36" s="42"/>
    </row>
    <row r="37" spans="1:5">
      <c r="A37" s="42"/>
      <c r="B37" s="43" t="s">
        <v>16</v>
      </c>
      <c r="C37" s="43" t="s">
        <v>17</v>
      </c>
      <c r="D37" s="43" t="s">
        <v>28</v>
      </c>
      <c r="E37" s="43" t="s">
        <v>29</v>
      </c>
    </row>
    <row r="38" spans="1:5">
      <c r="A38" s="42"/>
      <c r="B38" s="44">
        <v>42592</v>
      </c>
      <c r="C38" s="45" t="s">
        <v>34</v>
      </c>
      <c r="D38" s="46">
        <v>30</v>
      </c>
      <c r="E38" s="47">
        <v>55</v>
      </c>
    </row>
    <row r="39" spans="1:5">
      <c r="A39" s="42"/>
      <c r="B39" s="44">
        <v>42603</v>
      </c>
      <c r="C39" s="45" t="s">
        <v>35</v>
      </c>
      <c r="D39" s="46">
        <v>60</v>
      </c>
      <c r="E39" s="47">
        <v>52</v>
      </c>
    </row>
    <row r="40" spans="1:5">
      <c r="A40" s="42"/>
      <c r="B40" s="44">
        <v>42611</v>
      </c>
      <c r="C40" s="45" t="s">
        <v>36</v>
      </c>
      <c r="D40" s="46">
        <v>20</v>
      </c>
      <c r="E40" s="47">
        <v>54</v>
      </c>
    </row>
    <row r="41" spans="1:5">
      <c r="B41" s="48">
        <v>42614</v>
      </c>
      <c r="C41" s="45" t="s">
        <v>37</v>
      </c>
      <c r="D41" s="46">
        <v>9</v>
      </c>
      <c r="E41" s="47">
        <v>51</v>
      </c>
    </row>
    <row r="42" spans="1:5" s="36" customFormat="1"/>
    <row r="43" spans="1:5" s="36" customFormat="1">
      <c r="A43" s="36">
        <v>11</v>
      </c>
      <c r="B43" s="41" t="s">
        <v>51</v>
      </c>
    </row>
    <row r="44" spans="1:5" s="36" customFormat="1">
      <c r="A44" s="36">
        <v>12</v>
      </c>
      <c r="B44" s="41" t="s">
        <v>52</v>
      </c>
    </row>
    <row r="45" spans="1:5" s="36" customFormat="1"/>
    <row r="46" spans="1:5" s="36" customFormat="1">
      <c r="A46" s="36" t="s">
        <v>10</v>
      </c>
    </row>
    <row r="47" spans="1:5" s="36" customFormat="1"/>
    <row r="50" spans="1:1">
      <c r="A50" s="49"/>
    </row>
    <row r="51" spans="1:1">
      <c r="A51" s="42"/>
    </row>
    <row r="52" spans="1:1">
      <c r="A52" s="42"/>
    </row>
    <row r="53" spans="1:1">
      <c r="A53" s="49"/>
    </row>
    <row r="54" spans="1:1">
      <c r="A54" s="49"/>
    </row>
    <row r="55" spans="1:1">
      <c r="A55" s="49"/>
    </row>
    <row r="56" spans="1:1">
      <c r="A56" s="49"/>
    </row>
  </sheetData>
  <mergeCells count="4">
    <mergeCell ref="G2:O2"/>
    <mergeCell ref="G4:O4"/>
    <mergeCell ref="H6:N6"/>
    <mergeCell ref="A12:N12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62"/>
  <sheetViews>
    <sheetView zoomScale="140" zoomScaleNormal="140" workbookViewId="0">
      <selection activeCell="A5" sqref="A5"/>
    </sheetView>
  </sheetViews>
  <sheetFormatPr defaultColWidth="9.140625" defaultRowHeight="15"/>
  <cols>
    <col min="1" max="1" width="29.5703125" style="2" bestFit="1" customWidth="1"/>
    <col min="2" max="2" width="23.140625" style="2" bestFit="1" customWidth="1"/>
    <col min="3" max="6" width="9.140625" style="2"/>
    <col min="7" max="7" width="10.85546875" style="2" customWidth="1"/>
    <col min="8" max="8" width="10.5703125" style="2" customWidth="1"/>
    <col min="9" max="16384" width="9.140625" style="2"/>
  </cols>
  <sheetData>
    <row r="1" spans="1:8" ht="46.5">
      <c r="A1" s="1" t="s">
        <v>0</v>
      </c>
      <c r="B1" s="1" t="e">
        <f>+#REF!</f>
        <v>#REF!</v>
      </c>
      <c r="D1" s="2" t="s">
        <v>1</v>
      </c>
      <c r="E1" s="2" t="s">
        <v>2</v>
      </c>
    </row>
    <row r="2" spans="1:8">
      <c r="D2" s="2" t="s">
        <v>6</v>
      </c>
      <c r="E2" s="2" t="s">
        <v>3</v>
      </c>
    </row>
    <row r="3" spans="1:8">
      <c r="A3" s="3">
        <v>92</v>
      </c>
      <c r="D3" s="2" t="s">
        <v>7</v>
      </c>
      <c r="E3" s="4" t="s">
        <v>8</v>
      </c>
      <c r="F3" s="4"/>
      <c r="G3" s="4"/>
      <c r="H3" s="5" t="s">
        <v>4</v>
      </c>
    </row>
    <row r="4" spans="1:8">
      <c r="A4" s="3">
        <v>38</v>
      </c>
      <c r="D4" s="2" t="s">
        <v>9</v>
      </c>
      <c r="E4" s="6" t="s">
        <v>5</v>
      </c>
      <c r="F4" s="6"/>
      <c r="G4" s="6"/>
      <c r="H4" s="6"/>
    </row>
    <row r="5" spans="1:8">
      <c r="A5" s="3">
        <v>84</v>
      </c>
    </row>
    <row r="6" spans="1:8">
      <c r="A6" s="3">
        <v>37</v>
      </c>
    </row>
    <row r="7" spans="1:8">
      <c r="A7" s="3">
        <v>66</v>
      </c>
    </row>
    <row r="8" spans="1:8">
      <c r="A8" s="3">
        <v>27</v>
      </c>
    </row>
    <row r="9" spans="1:8">
      <c r="A9" s="3">
        <v>17</v>
      </c>
    </row>
    <row r="10" spans="1:8">
      <c r="A10" s="3">
        <v>49</v>
      </c>
    </row>
    <row r="11" spans="1:8">
      <c r="A11" s="3">
        <v>66</v>
      </c>
    </row>
    <row r="12" spans="1:8">
      <c r="A12" s="3">
        <v>17</v>
      </c>
    </row>
    <row r="13" spans="1:8">
      <c r="A13" s="3">
        <v>5</v>
      </c>
    </row>
    <row r="14" spans="1:8">
      <c r="A14" s="3">
        <v>12</v>
      </c>
    </row>
    <row r="15" spans="1:8">
      <c r="A15" s="3">
        <v>71</v>
      </c>
    </row>
    <row r="16" spans="1:8">
      <c r="A16" s="3">
        <v>5</v>
      </c>
    </row>
    <row r="17" spans="1:1">
      <c r="A17" s="3">
        <v>3</v>
      </c>
    </row>
    <row r="18" spans="1:1">
      <c r="A18" s="3">
        <v>27</v>
      </c>
    </row>
    <row r="19" spans="1:1">
      <c r="A19" s="3">
        <v>99</v>
      </c>
    </row>
    <row r="20" spans="1:1">
      <c r="A20" s="3">
        <v>3</v>
      </c>
    </row>
    <row r="21" spans="1:1">
      <c r="A21" s="3">
        <v>99</v>
      </c>
    </row>
    <row r="22" spans="1:1">
      <c r="A22" s="3">
        <v>49</v>
      </c>
    </row>
    <row r="23" spans="1:1">
      <c r="A23" s="3">
        <v>12</v>
      </c>
    </row>
    <row r="24" spans="1:1">
      <c r="A24" s="3">
        <v>12</v>
      </c>
    </row>
    <row r="25" spans="1:1">
      <c r="A25" s="3">
        <v>49</v>
      </c>
    </row>
    <row r="26" spans="1:1">
      <c r="A26" s="3">
        <v>84</v>
      </c>
    </row>
    <row r="27" spans="1:1">
      <c r="A27" s="3">
        <v>6</v>
      </c>
    </row>
    <row r="28" spans="1:1">
      <c r="A28" s="3">
        <v>71</v>
      </c>
    </row>
    <row r="29" spans="1:1">
      <c r="A29" s="3">
        <v>92</v>
      </c>
    </row>
    <row r="30" spans="1:1">
      <c r="A30" s="3">
        <v>99</v>
      </c>
    </row>
    <row r="31" spans="1:1">
      <c r="A31" s="3">
        <v>27</v>
      </c>
    </row>
    <row r="32" spans="1:1">
      <c r="A32" s="3">
        <v>6</v>
      </c>
    </row>
    <row r="33" spans="1:1">
      <c r="A33" s="3">
        <v>38</v>
      </c>
    </row>
    <row r="34" spans="1:1">
      <c r="A34" s="3">
        <v>27</v>
      </c>
    </row>
    <row r="35" spans="1:1">
      <c r="A35" s="3">
        <v>38</v>
      </c>
    </row>
    <row r="36" spans="1:1">
      <c r="A36" s="3">
        <v>92</v>
      </c>
    </row>
    <row r="37" spans="1:1">
      <c r="A37" s="3">
        <v>3</v>
      </c>
    </row>
    <row r="38" spans="1:1">
      <c r="A38" s="3">
        <v>84</v>
      </c>
    </row>
    <row r="39" spans="1:1">
      <c r="A39" s="3">
        <v>5</v>
      </c>
    </row>
    <row r="40" spans="1:1">
      <c r="A40" s="3">
        <v>5</v>
      </c>
    </row>
    <row r="41" spans="1:1">
      <c r="A41" s="3">
        <v>57</v>
      </c>
    </row>
    <row r="42" spans="1:1">
      <c r="A42" s="3">
        <v>3</v>
      </c>
    </row>
    <row r="43" spans="1:1">
      <c r="A43" s="3">
        <v>66</v>
      </c>
    </row>
    <row r="44" spans="1:1">
      <c r="A44" s="3">
        <v>5</v>
      </c>
    </row>
    <row r="45" spans="1:1">
      <c r="A45" s="3">
        <v>71</v>
      </c>
    </row>
    <row r="46" spans="1:1">
      <c r="A46" s="3">
        <v>38</v>
      </c>
    </row>
    <row r="47" spans="1:1">
      <c r="A47" s="3">
        <v>66</v>
      </c>
    </row>
    <row r="48" spans="1:1">
      <c r="A48" s="3">
        <v>57</v>
      </c>
    </row>
    <row r="49" spans="1:1">
      <c r="A49" s="3">
        <v>6</v>
      </c>
    </row>
    <row r="50" spans="1:1">
      <c r="A50" s="3">
        <v>5</v>
      </c>
    </row>
    <row r="51" spans="1:1">
      <c r="A51" s="3">
        <v>71</v>
      </c>
    </row>
    <row r="52" spans="1:1">
      <c r="A52" s="3">
        <v>57</v>
      </c>
    </row>
    <row r="53" spans="1:1">
      <c r="A53" s="3">
        <v>12</v>
      </c>
    </row>
    <row r="54" spans="1:1">
      <c r="A54" s="3">
        <v>5</v>
      </c>
    </row>
    <row r="55" spans="1:1">
      <c r="A55" s="3">
        <v>6</v>
      </c>
    </row>
    <row r="56" spans="1:1">
      <c r="A56" s="3">
        <v>17</v>
      </c>
    </row>
    <row r="57" spans="1:1">
      <c r="A57" s="3">
        <v>49</v>
      </c>
    </row>
    <row r="58" spans="1:1">
      <c r="A58" s="3">
        <v>5</v>
      </c>
    </row>
    <row r="59" spans="1:1">
      <c r="A59" s="3">
        <v>57</v>
      </c>
    </row>
    <row r="60" spans="1:1">
      <c r="A60" s="3">
        <v>99</v>
      </c>
    </row>
    <row r="61" spans="1:1">
      <c r="A61" s="3">
        <v>84</v>
      </c>
    </row>
    <row r="62" spans="1:1">
      <c r="A62" s="3">
        <v>17</v>
      </c>
    </row>
  </sheetData>
  <sheetProtection sheet="1" objects="1" scenarios="1" selectLockedCells="1" selectUnlockedCells="1"/>
  <pageMargins left="0.7" right="0.7" top="0.75" bottom="0.75" header="0.3" footer="0.3"/>
  <pageSetup paperSize="256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C15"/>
  <sheetViews>
    <sheetView zoomScaleNormal="100" workbookViewId="0">
      <selection activeCell="J4" sqref="J4"/>
    </sheetView>
  </sheetViews>
  <sheetFormatPr defaultRowHeight="15"/>
  <cols>
    <col min="2" max="2" width="34.5703125" bestFit="1" customWidth="1"/>
    <col min="3" max="3" width="17.7109375" customWidth="1"/>
  </cols>
  <sheetData>
    <row r="2" spans="2:3" ht="36">
      <c r="B2" s="61" t="s">
        <v>38</v>
      </c>
      <c r="C2" s="61"/>
    </row>
    <row r="5" spans="2:3" ht="21">
      <c r="B5" s="13" t="s">
        <v>16</v>
      </c>
      <c r="C5" s="14"/>
    </row>
    <row r="6" spans="2:3" ht="21">
      <c r="B6" s="15"/>
      <c r="C6" s="15"/>
    </row>
    <row r="7" spans="2:3" ht="21">
      <c r="B7" s="13" t="s">
        <v>17</v>
      </c>
      <c r="C7" s="45"/>
    </row>
    <row r="8" spans="2:3" ht="21">
      <c r="B8" s="13" t="s">
        <v>28</v>
      </c>
      <c r="C8" s="46"/>
    </row>
    <row r="9" spans="2:3" ht="21">
      <c r="B9" s="13" t="s">
        <v>29</v>
      </c>
      <c r="C9" s="47"/>
    </row>
    <row r="10" spans="2:3">
      <c r="C10" s="16"/>
    </row>
    <row r="11" spans="2:3">
      <c r="C11" s="16"/>
    </row>
    <row r="12" spans="2:3">
      <c r="C12" s="16"/>
    </row>
    <row r="13" spans="2:3">
      <c r="C13" s="16"/>
    </row>
    <row r="14" spans="2:3">
      <c r="C14" s="16"/>
    </row>
    <row r="15" spans="2:3">
      <c r="C15" s="16"/>
    </row>
  </sheetData>
  <mergeCells count="1">
    <mergeCell ref="B2:C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ransfer_Data">
                <anchor moveWithCells="1" sizeWithCells="1">
                  <from>
                    <xdr:col>3</xdr:col>
                    <xdr:colOff>390525</xdr:colOff>
                    <xdr:row>5</xdr:row>
                    <xdr:rowOff>123825</xdr:rowOff>
                  </from>
                  <to>
                    <xdr:col>6</xdr:col>
                    <xdr:colOff>590550</xdr:colOff>
                    <xdr:row>6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8"/>
  <sheetViews>
    <sheetView workbookViewId="0">
      <selection activeCell="F12" sqref="F12"/>
    </sheetView>
  </sheetViews>
  <sheetFormatPr defaultRowHeight="15"/>
  <cols>
    <col min="1" max="1" width="18.7109375" customWidth="1"/>
    <col min="2" max="2" width="13" customWidth="1"/>
    <col min="3" max="3" width="23.140625" customWidth="1"/>
    <col min="4" max="4" width="25.85546875" customWidth="1"/>
    <col min="5" max="5" width="19" customWidth="1"/>
    <col min="6" max="6" width="14.5703125" bestFit="1" customWidth="1"/>
    <col min="7" max="7" width="13.85546875" customWidth="1"/>
    <col min="8" max="8" width="25.7109375" customWidth="1"/>
    <col min="10" max="10" width="19.42578125" bestFit="1" customWidth="1"/>
  </cols>
  <sheetData>
    <row r="1" spans="1:10" ht="21">
      <c r="A1" s="17" t="s">
        <v>30</v>
      </c>
      <c r="B1" s="18" t="s">
        <v>16</v>
      </c>
      <c r="C1" s="18" t="s">
        <v>59</v>
      </c>
      <c r="D1" s="19" t="s">
        <v>28</v>
      </c>
      <c r="E1" s="18" t="s">
        <v>29</v>
      </c>
      <c r="F1" s="20" t="s">
        <v>21</v>
      </c>
      <c r="G1" s="20" t="s">
        <v>31</v>
      </c>
      <c r="H1" s="21" t="s">
        <v>32</v>
      </c>
      <c r="I1" s="22"/>
      <c r="J1" s="23" t="s">
        <v>33</v>
      </c>
    </row>
    <row r="2" spans="1:10" ht="23.25">
      <c r="A2" s="24">
        <v>100</v>
      </c>
      <c r="B2" s="25">
        <v>42583</v>
      </c>
      <c r="C2" s="26" t="s">
        <v>22</v>
      </c>
      <c r="D2" s="26">
        <v>20</v>
      </c>
      <c r="E2" s="27">
        <v>50</v>
      </c>
      <c r="F2" s="27">
        <f>Table1[[#This Row],[Hours of Service Provided]]*Table1[[#This Row],[Fee per hour]]</f>
        <v>1000</v>
      </c>
      <c r="G2" s="27">
        <f>IF(Table1[[#This Row],[Hours of Service Provided]]&gt;10,5%*Table1[[#This Row],[Total]],0)</f>
        <v>50</v>
      </c>
      <c r="H2" s="28">
        <f>Table1[[#This Row],[Total]]-Table1[[#This Row],[Discount]]</f>
        <v>950</v>
      </c>
      <c r="I2" s="29"/>
      <c r="J2" s="32">
        <f>SUM(Total_Amount_Due)</f>
        <v>8419.5</v>
      </c>
    </row>
    <row r="3" spans="1:10" ht="18.75">
      <c r="A3" s="24">
        <f t="shared" ref="A3:A8" si="0">A2+1</f>
        <v>101</v>
      </c>
      <c r="B3" s="25">
        <v>42584</v>
      </c>
      <c r="C3" s="26" t="s">
        <v>35</v>
      </c>
      <c r="D3" s="26">
        <v>8</v>
      </c>
      <c r="E3" s="27">
        <v>51</v>
      </c>
      <c r="F3" s="27">
        <f>Table1[[#This Row],[Hours of Service Provided]]*Table1[[#This Row],[Fee per hour]]</f>
        <v>408</v>
      </c>
      <c r="G3" s="27">
        <f>IF(Table1[[#This Row],[Hours of Service Provided]]&gt;10,5%*Table1[[#This Row],[Total]],0)</f>
        <v>0</v>
      </c>
      <c r="H3" s="28">
        <f>Table1[[#This Row],[Total]]-Table1[[#This Row],[Discount]]</f>
        <v>408</v>
      </c>
    </row>
    <row r="4" spans="1:10" ht="21">
      <c r="A4" s="24">
        <f t="shared" si="0"/>
        <v>102</v>
      </c>
      <c r="B4" s="14">
        <v>42586</v>
      </c>
      <c r="C4" s="26" t="s">
        <v>58</v>
      </c>
      <c r="D4" s="26">
        <v>22</v>
      </c>
      <c r="E4" s="27">
        <v>50</v>
      </c>
      <c r="F4" s="50">
        <f>Table1[[#This Row],[Hours of Service Provided]]*Table1[[#This Row],[Fee per hour]]</f>
        <v>1100</v>
      </c>
      <c r="G4" s="50">
        <f>IF(Table1[[#This Row],[Hours of Service Provided]]&gt;10,5%*Table1[[#This Row],[Total]],0)</f>
        <v>55</v>
      </c>
      <c r="H4" s="51">
        <f>Table1[[#This Row],[Total]]-Table1[[#This Row],[Discount]]</f>
        <v>1045</v>
      </c>
    </row>
    <row r="5" spans="1:10" ht="18.75">
      <c r="A5" s="24">
        <f t="shared" si="0"/>
        <v>103</v>
      </c>
      <c r="B5" s="25">
        <v>42592</v>
      </c>
      <c r="C5" s="26" t="s">
        <v>34</v>
      </c>
      <c r="D5" s="26">
        <v>30</v>
      </c>
      <c r="E5" s="27">
        <v>55</v>
      </c>
      <c r="F5" s="50">
        <f>Table1[[#This Row],[Hours of Service Provided]]*Table1[[#This Row],[Fee per hour]]</f>
        <v>1650</v>
      </c>
      <c r="G5" s="50">
        <f>IF(Table1[[#This Row],[Hours of Service Provided]]&gt;10,5%*Table1[[#This Row],[Total]],0)</f>
        <v>82.5</v>
      </c>
      <c r="H5" s="51">
        <f>Table1[[#This Row],[Total]]-Table1[[#This Row],[Discount]]</f>
        <v>1567.5</v>
      </c>
    </row>
    <row r="6" spans="1:10" ht="18.75">
      <c r="A6" s="24">
        <f t="shared" si="0"/>
        <v>104</v>
      </c>
      <c r="B6" s="25">
        <v>42603</v>
      </c>
      <c r="C6" s="26" t="s">
        <v>35</v>
      </c>
      <c r="D6" s="26">
        <v>60</v>
      </c>
      <c r="E6" s="27">
        <v>52</v>
      </c>
      <c r="F6" s="50">
        <f>Table1[[#This Row],[Hours of Service Provided]]*Table1[[#This Row],[Fee per hour]]</f>
        <v>3120</v>
      </c>
      <c r="G6" s="50">
        <f>IF(Table1[[#This Row],[Hours of Service Provided]]&gt;10,5%*Table1[[#This Row],[Total]],0)</f>
        <v>156</v>
      </c>
      <c r="H6" s="51">
        <f>Table1[[#This Row],[Total]]-Table1[[#This Row],[Discount]]</f>
        <v>2964</v>
      </c>
    </row>
    <row r="7" spans="1:10" ht="18.75">
      <c r="A7" s="24">
        <f t="shared" si="0"/>
        <v>105</v>
      </c>
      <c r="B7" s="25">
        <v>42611</v>
      </c>
      <c r="C7" s="26" t="s">
        <v>36</v>
      </c>
      <c r="D7" s="26">
        <v>20</v>
      </c>
      <c r="E7" s="27">
        <v>54</v>
      </c>
      <c r="F7" s="50">
        <f>Table1[[#This Row],[Hours of Service Provided]]*Table1[[#This Row],[Fee per hour]]</f>
        <v>1080</v>
      </c>
      <c r="G7" s="50">
        <f>IF(Table1[[#This Row],[Hours of Service Provided]]&gt;10,5%*Table1[[#This Row],[Total]],0)</f>
        <v>54</v>
      </c>
      <c r="H7" s="51">
        <f>Table1[[#This Row],[Total]]-Table1[[#This Row],[Discount]]</f>
        <v>1026</v>
      </c>
    </row>
    <row r="8" spans="1:10" ht="18.75">
      <c r="A8" s="24">
        <f t="shared" si="0"/>
        <v>106</v>
      </c>
      <c r="B8" s="25">
        <v>42614</v>
      </c>
      <c r="C8" s="26" t="s">
        <v>37</v>
      </c>
      <c r="D8" s="26">
        <v>9</v>
      </c>
      <c r="E8" s="27">
        <v>51</v>
      </c>
      <c r="F8" s="50">
        <f>Table1[[#This Row],[Hours of Service Provided]]*Table1[[#This Row],[Fee per hour]]</f>
        <v>459</v>
      </c>
      <c r="G8" s="50">
        <f>IF(Table1[[#This Row],[Hours of Service Provided]]&gt;10,5%*Table1[[#This Row],[Total]],0)</f>
        <v>0</v>
      </c>
      <c r="H8" s="51">
        <f>Table1[[#This Row],[Total]]-Table1[[#This Row],[Discount]]</f>
        <v>459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Invoice">
                <anchor moveWithCells="1" sizeWithCells="1">
                  <from>
                    <xdr:col>8</xdr:col>
                    <xdr:colOff>361950</xdr:colOff>
                    <xdr:row>3</xdr:row>
                    <xdr:rowOff>66675</xdr:rowOff>
                  </from>
                  <to>
                    <xdr:col>9</xdr:col>
                    <xdr:colOff>1057275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16"/>
  <sheetViews>
    <sheetView workbookViewId="0">
      <selection activeCell="B3" sqref="B3"/>
    </sheetView>
  </sheetViews>
  <sheetFormatPr defaultRowHeight="15"/>
  <cols>
    <col min="1" max="3" width="18.85546875" customWidth="1"/>
  </cols>
  <sheetData>
    <row r="1" spans="1:3" ht="18.75">
      <c r="A1" s="8" t="s">
        <v>18</v>
      </c>
    </row>
    <row r="2" spans="1:3">
      <c r="A2" s="7" t="s">
        <v>27</v>
      </c>
      <c r="B2" t="str">
        <f>VLOOKUP($B$3,Invoices,3,FALSE)</f>
        <v>King Pty Ltd</v>
      </c>
    </row>
    <row r="3" spans="1:3">
      <c r="A3" s="7" t="s">
        <v>23</v>
      </c>
      <c r="B3">
        <v>104</v>
      </c>
    </row>
    <row r="4" spans="1:3">
      <c r="A4" s="7" t="s">
        <v>24</v>
      </c>
      <c r="B4" s="30">
        <f>VLOOKUP(B3,Invoices,2,FALSE)</f>
        <v>42603</v>
      </c>
    </row>
    <row r="6" spans="1:3" ht="15.75">
      <c r="A6" s="12" t="s">
        <v>19</v>
      </c>
      <c r="B6" s="12" t="s">
        <v>20</v>
      </c>
      <c r="C6" s="12" t="s">
        <v>21</v>
      </c>
    </row>
    <row r="7" spans="1:3">
      <c r="A7" s="9">
        <f>VLOOKUP($B$3,Invoices,4,FALSE)</f>
        <v>60</v>
      </c>
      <c r="B7" s="9">
        <f>VLOOKUP($B$3,Invoices,5,FALSE)</f>
        <v>52</v>
      </c>
      <c r="C7" s="31">
        <f>VLOOKUP($B$3,Invoices,6,FALSE)</f>
        <v>3120</v>
      </c>
    </row>
    <row r="8" spans="1:3">
      <c r="A8" s="9"/>
      <c r="B8" s="9"/>
      <c r="C8" s="9"/>
    </row>
    <row r="9" spans="1:3">
      <c r="A9" s="9"/>
      <c r="B9" s="9"/>
      <c r="C9" s="9"/>
    </row>
    <row r="10" spans="1:3">
      <c r="A10" s="9"/>
      <c r="B10" s="9"/>
      <c r="C10" s="9"/>
    </row>
    <row r="11" spans="1:3">
      <c r="A11" s="9"/>
      <c r="B11" s="9"/>
      <c r="C11" s="9"/>
    </row>
    <row r="12" spans="1:3">
      <c r="A12" s="9"/>
      <c r="B12" s="9"/>
      <c r="C12" s="9"/>
    </row>
    <row r="13" spans="1:3">
      <c r="A13" s="10"/>
      <c r="B13" s="10"/>
      <c r="C13" s="10"/>
    </row>
    <row r="14" spans="1:3">
      <c r="A14" s="62" t="s">
        <v>25</v>
      </c>
      <c r="B14" s="62"/>
      <c r="C14" s="11">
        <f>C7</f>
        <v>3120</v>
      </c>
    </row>
    <row r="15" spans="1:3">
      <c r="A15" s="63" t="s">
        <v>44</v>
      </c>
      <c r="B15" s="63"/>
      <c r="C15" s="11">
        <f>VLOOKUP($B$3,Invoices,7,FALSE)</f>
        <v>156</v>
      </c>
    </row>
    <row r="16" spans="1:3">
      <c r="A16" s="62" t="s">
        <v>26</v>
      </c>
      <c r="B16" s="62"/>
      <c r="C16" s="11">
        <f>VLOOKUP($B$3,Invoices,8,FALSE)</f>
        <v>2964</v>
      </c>
    </row>
  </sheetData>
  <mergeCells count="3">
    <mergeCell ref="A14:B14"/>
    <mergeCell ref="A15:B15"/>
    <mergeCell ref="A16:B16"/>
  </mergeCells>
  <dataValidations count="2">
    <dataValidation type="list" allowBlank="1" showInputMessage="1" showErrorMessage="1" sqref="B2" xr:uid="{CDB3148C-AC3E-4038-A7DB-795887545D65}">
      <formula1>Customer_Name</formula1>
    </dataValidation>
    <dataValidation type="list" allowBlank="1" showInputMessage="1" showErrorMessage="1" sqref="B3" xr:uid="{279FEF10-290E-42F6-A221-F5BC3759E30A}">
      <formula1>Invoice_Number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E530E-72C9-42BC-9603-0B3837030A21}">
  <sheetPr codeName="Sheet6"/>
  <dimension ref="A1:C16"/>
  <sheetViews>
    <sheetView workbookViewId="0">
      <selection activeCell="G22" sqref="G22"/>
    </sheetView>
  </sheetViews>
  <sheetFormatPr defaultRowHeight="15"/>
  <cols>
    <col min="1" max="3" width="18.85546875" customWidth="1"/>
  </cols>
  <sheetData>
    <row r="1" spans="1:3" ht="18.75">
      <c r="A1" s="8" t="s">
        <v>18</v>
      </c>
    </row>
    <row r="2" spans="1:3">
      <c r="A2" s="7" t="s">
        <v>27</v>
      </c>
      <c r="B2" t="str">
        <f>VLOOKUP($B$3,Invoices,3,FALSE)</f>
        <v>Siroos Pty Ltd</v>
      </c>
    </row>
    <row r="3" spans="1:3">
      <c r="A3" s="7" t="s">
        <v>23</v>
      </c>
      <c r="B3">
        <v>105</v>
      </c>
    </row>
    <row r="4" spans="1:3">
      <c r="A4" s="7" t="s">
        <v>24</v>
      </c>
      <c r="B4" s="30">
        <f>VLOOKUP(B3,Invoices,2,FALSE)</f>
        <v>42611</v>
      </c>
    </row>
    <row r="6" spans="1:3" ht="15.75">
      <c r="A6" s="12" t="s">
        <v>19</v>
      </c>
      <c r="B6" s="12" t="s">
        <v>20</v>
      </c>
      <c r="C6" s="12" t="s">
        <v>21</v>
      </c>
    </row>
    <row r="7" spans="1:3">
      <c r="A7" s="9">
        <f>VLOOKUP($B$3,Invoices,4,FALSE)</f>
        <v>20</v>
      </c>
      <c r="B7" s="9">
        <f>VLOOKUP($B$3,Invoices,5,FALSE)</f>
        <v>54</v>
      </c>
      <c r="C7" s="31">
        <f>VLOOKUP($B$3,Invoices,6,FALSE)</f>
        <v>1080</v>
      </c>
    </row>
    <row r="8" spans="1:3">
      <c r="A8" s="9"/>
      <c r="B8" s="9"/>
      <c r="C8" s="9"/>
    </row>
    <row r="9" spans="1:3">
      <c r="A9" s="9"/>
      <c r="B9" s="9"/>
      <c r="C9" s="9"/>
    </row>
    <row r="10" spans="1:3">
      <c r="A10" s="9"/>
      <c r="B10" s="9"/>
      <c r="C10" s="9"/>
    </row>
    <row r="11" spans="1:3">
      <c r="A11" s="9"/>
      <c r="B11" s="9"/>
      <c r="C11" s="9"/>
    </row>
    <row r="12" spans="1:3">
      <c r="A12" s="9"/>
      <c r="B12" s="9"/>
      <c r="C12" s="9"/>
    </row>
    <row r="13" spans="1:3">
      <c r="A13" s="10"/>
      <c r="B13" s="10"/>
      <c r="C13" s="10"/>
    </row>
    <row r="14" spans="1:3">
      <c r="A14" s="62" t="s">
        <v>25</v>
      </c>
      <c r="B14" s="62"/>
      <c r="C14" s="11">
        <f>C7</f>
        <v>1080</v>
      </c>
    </row>
    <row r="15" spans="1:3">
      <c r="A15" s="63" t="s">
        <v>44</v>
      </c>
      <c r="B15" s="63"/>
      <c r="C15" s="11">
        <f>VLOOKUP($B$3,Invoices,7,FALSE)</f>
        <v>54</v>
      </c>
    </row>
    <row r="16" spans="1:3">
      <c r="A16" s="62" t="s">
        <v>26</v>
      </c>
      <c r="B16" s="62"/>
      <c r="C16" s="11">
        <f>VLOOKUP($B$3,Invoices,8,FALSE)</f>
        <v>1026</v>
      </c>
    </row>
  </sheetData>
  <mergeCells count="3">
    <mergeCell ref="A14:B14"/>
    <mergeCell ref="A15:B15"/>
    <mergeCell ref="A16:B16"/>
  </mergeCells>
  <dataValidations count="2">
    <dataValidation type="list" allowBlank="1" showInputMessage="1" showErrorMessage="1" sqref="B3" xr:uid="{080B951F-953B-4DFD-9724-D753C9729F4D}">
      <formula1>Invoice_Number</formula1>
    </dataValidation>
    <dataValidation type="list" allowBlank="1" showInputMessage="1" showErrorMessage="1" sqref="B2" xr:uid="{D150E86F-99E0-4B14-936B-DAFAC2867725}">
      <formula1>Customer_Name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C119A-0BA4-4210-99D4-F60E0B5DEBAF}">
  <sheetPr codeName="Sheet7"/>
  <dimension ref="A1:C16"/>
  <sheetViews>
    <sheetView workbookViewId="0">
      <selection activeCell="F14" sqref="F14"/>
    </sheetView>
  </sheetViews>
  <sheetFormatPr defaultRowHeight="15"/>
  <cols>
    <col min="1" max="3" width="18.85546875" customWidth="1"/>
  </cols>
  <sheetData>
    <row r="1" spans="1:3" ht="18.75">
      <c r="A1" s="8" t="s">
        <v>18</v>
      </c>
    </row>
    <row r="2" spans="1:3">
      <c r="A2" s="7" t="s">
        <v>27</v>
      </c>
      <c r="B2" t="str">
        <f>VLOOKUP($B$3,Invoices,3,FALSE)</f>
        <v>Behrooz Pty Ltd</v>
      </c>
    </row>
    <row r="3" spans="1:3">
      <c r="A3" s="7" t="s">
        <v>23</v>
      </c>
      <c r="B3">
        <v>106</v>
      </c>
    </row>
    <row r="4" spans="1:3">
      <c r="A4" s="7" t="s">
        <v>24</v>
      </c>
      <c r="B4" s="30">
        <f>VLOOKUP(B3,Invoices,2,FALSE)</f>
        <v>42614</v>
      </c>
    </row>
    <row r="6" spans="1:3" ht="15.75">
      <c r="A6" s="12" t="s">
        <v>19</v>
      </c>
      <c r="B6" s="12" t="s">
        <v>20</v>
      </c>
      <c r="C6" s="12" t="s">
        <v>21</v>
      </c>
    </row>
    <row r="7" spans="1:3">
      <c r="A7" s="9">
        <f>VLOOKUP($B$3,Invoices,4,FALSE)</f>
        <v>9</v>
      </c>
      <c r="B7" s="9">
        <f>VLOOKUP($B$3,Invoices,5,FALSE)</f>
        <v>51</v>
      </c>
      <c r="C7" s="31">
        <f>VLOOKUP($B$3,Invoices,6,FALSE)</f>
        <v>459</v>
      </c>
    </row>
    <row r="8" spans="1:3">
      <c r="A8" s="9"/>
      <c r="B8" s="9"/>
      <c r="C8" s="9"/>
    </row>
    <row r="9" spans="1:3">
      <c r="A9" s="9"/>
      <c r="B9" s="9"/>
      <c r="C9" s="9"/>
    </row>
    <row r="10" spans="1:3">
      <c r="A10" s="9"/>
      <c r="B10" s="9"/>
      <c r="C10" s="9"/>
    </row>
    <row r="11" spans="1:3">
      <c r="A11" s="9"/>
      <c r="B11" s="9"/>
      <c r="C11" s="9"/>
    </row>
    <row r="12" spans="1:3">
      <c r="A12" s="9"/>
      <c r="B12" s="9"/>
      <c r="C12" s="9"/>
    </row>
    <row r="13" spans="1:3">
      <c r="A13" s="10"/>
      <c r="B13" s="10"/>
      <c r="C13" s="10"/>
    </row>
    <row r="14" spans="1:3">
      <c r="A14" s="62" t="s">
        <v>25</v>
      </c>
      <c r="B14" s="62"/>
      <c r="C14" s="11">
        <f>C7</f>
        <v>459</v>
      </c>
    </row>
    <row r="15" spans="1:3">
      <c r="A15" s="63" t="s">
        <v>44</v>
      </c>
      <c r="B15" s="63"/>
      <c r="C15" s="11">
        <f>VLOOKUP($B$3,Invoices,7,FALSE)</f>
        <v>0</v>
      </c>
    </row>
    <row r="16" spans="1:3">
      <c r="A16" s="62" t="s">
        <v>26</v>
      </c>
      <c r="B16" s="62"/>
      <c r="C16" s="11">
        <f>VLOOKUP($B$3,Invoices,8,FALSE)</f>
        <v>459</v>
      </c>
    </row>
  </sheetData>
  <mergeCells count="3">
    <mergeCell ref="A14:B14"/>
    <mergeCell ref="A15:B15"/>
    <mergeCell ref="A16:B16"/>
  </mergeCells>
  <dataValidations count="2">
    <dataValidation type="list" allowBlank="1" showInputMessage="1" showErrorMessage="1" sqref="B3" xr:uid="{06F21916-BF87-4AF8-BBFE-D36C197D496F}">
      <formula1>Invoice_Number</formula1>
    </dataValidation>
    <dataValidation type="list" allowBlank="1" showInputMessage="1" showErrorMessage="1" sqref="B2" xr:uid="{1F916513-2992-4040-B8C4-E8146D777137}">
      <formula1>Customer_Name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</vt:i4>
      </vt:variant>
    </vt:vector>
  </HeadingPairs>
  <TitlesOfParts>
    <vt:vector size="19" baseType="lpstr">
      <vt:lpstr>Instructions </vt:lpstr>
      <vt:lpstr>Instruction</vt:lpstr>
      <vt:lpstr>Data Entry</vt:lpstr>
      <vt:lpstr>Table</vt:lpstr>
      <vt:lpstr>Invoice Template</vt:lpstr>
      <vt:lpstr>105</vt:lpstr>
      <vt:lpstr>106</vt:lpstr>
      <vt:lpstr>Customer_Name</vt:lpstr>
      <vt:lpstr>Date</vt:lpstr>
      <vt:lpstr>Discount</vt:lpstr>
      <vt:lpstr>Fee_per_hour</vt:lpstr>
      <vt:lpstr>Hours_of_Service_Provided</vt:lpstr>
      <vt:lpstr>Invoice_Number</vt:lpstr>
      <vt:lpstr>'105'!Invoices</vt:lpstr>
      <vt:lpstr>'106'!Invoices</vt:lpstr>
      <vt:lpstr>Invoices</vt:lpstr>
      <vt:lpstr>Total</vt:lpstr>
      <vt:lpstr>Total_Amount_Due</vt:lpstr>
      <vt:lpstr>Total_Revenue</vt:lpstr>
    </vt:vector>
  </TitlesOfParts>
  <Company>Kent Institute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Behnaz Ortakand</dc:creator>
  <cp:lastModifiedBy>Waqar Nawaz</cp:lastModifiedBy>
  <dcterms:created xsi:type="dcterms:W3CDTF">2016-08-30T01:18:10Z</dcterms:created>
  <dcterms:modified xsi:type="dcterms:W3CDTF">2022-06-22T21:06:05Z</dcterms:modified>
</cp:coreProperties>
</file>